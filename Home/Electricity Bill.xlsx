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ersonal Drive\Home\Electricity bill\"/>
    </mc:Choice>
  </mc:AlternateContent>
  <bookViews>
    <workbookView xWindow="0" yWindow="0" windowWidth="20490" windowHeight="8235"/>
  </bookViews>
  <sheets>
    <sheet name="Light Bi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E6" i="1"/>
  <c r="F7" i="1"/>
  <c r="F10" i="1" s="1"/>
  <c r="G7" i="1"/>
  <c r="G10" i="1" s="1"/>
  <c r="H7" i="1"/>
  <c r="I7" i="1"/>
  <c r="I9" i="1" s="1"/>
  <c r="J7" i="1"/>
  <c r="J10" i="1" s="1"/>
  <c r="K7" i="1"/>
  <c r="K10" i="1" s="1"/>
  <c r="L7" i="1"/>
  <c r="M7" i="1"/>
  <c r="M9" i="1" s="1"/>
  <c r="N7" i="1"/>
  <c r="N10" i="1" s="1"/>
  <c r="D9" i="1"/>
  <c r="D12" i="1" s="1"/>
  <c r="E9" i="1"/>
  <c r="H9" i="1"/>
  <c r="H12" i="1" s="1"/>
  <c r="L9" i="1"/>
  <c r="L12" i="1" s="1"/>
  <c r="D10" i="1"/>
  <c r="E10" i="1"/>
  <c r="H10" i="1"/>
  <c r="I10" i="1"/>
  <c r="L10" i="1"/>
  <c r="M10" i="1"/>
  <c r="C12" i="1"/>
  <c r="E12" i="1"/>
  <c r="C14" i="1"/>
  <c r="E14" i="1"/>
  <c r="I12" i="1" l="1"/>
  <c r="I14" i="1"/>
  <c r="M12" i="1"/>
  <c r="M14" i="1"/>
  <c r="L14" i="1"/>
  <c r="H14" i="1"/>
  <c r="D14" i="1"/>
  <c r="K9" i="1"/>
  <c r="G9" i="1"/>
  <c r="N9" i="1"/>
  <c r="J9" i="1"/>
  <c r="F9" i="1"/>
  <c r="K12" i="1" l="1"/>
  <c r="K14" i="1"/>
  <c r="J12" i="1"/>
  <c r="J14" i="1"/>
  <c r="F12" i="1"/>
  <c r="F14" i="1" s="1"/>
  <c r="N12" i="1"/>
  <c r="N14" i="1"/>
  <c r="G12" i="1"/>
  <c r="G14" i="1"/>
</calcChain>
</file>

<file path=xl/sharedStrings.xml><?xml version="1.0" encoding="utf-8"?>
<sst xmlns="http://schemas.openxmlformats.org/spreadsheetml/2006/main" count="10" uniqueCount="10">
  <si>
    <t>Total</t>
  </si>
  <si>
    <t>वीज शुल्क (16 %)</t>
  </si>
  <si>
    <t>इंधन समायोजन आकार</t>
  </si>
  <si>
    <t>वहन आकार @ ₹1.45/ युनिट</t>
  </si>
  <si>
    <t>वीज आकार</t>
  </si>
  <si>
    <t>स्थिर आकार</t>
  </si>
  <si>
    <t>Unit</t>
  </si>
  <si>
    <t>Meter Reading</t>
  </si>
  <si>
    <t>Billing Month</t>
  </si>
  <si>
    <t>महाराष्ट्र स्टेट इलेक्ट्रिसिटी डिस्ट्रीब्यूशन कंपनी लि.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</si>
</sst>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Lucida Fax"/>
      <family val="1"/>
    </font>
    <font>
      <sz val="18"/>
      <color theme="1"/>
      <name val="Lucida Fax"/>
      <family val="1"/>
    </font>
    <font>
      <sz val="18"/>
      <color rgb="FF000000"/>
      <name val="Lucida Fax"/>
      <family val="1"/>
    </font>
    <font>
      <sz val="14"/>
      <color theme="1"/>
      <name val="Lucida Fax"/>
      <family val="1"/>
    </font>
    <font>
      <sz val="2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/>
    <xf numFmtId="0" fontId="1" fillId="0" borderId="1" xfId="0" applyFont="1" applyBorder="1" applyAlignment="1"/>
    <xf numFmtId="2" fontId="1" fillId="0" borderId="1" xfId="0" applyNumberFormat="1" applyFont="1" applyBorder="1" applyAlignment="1"/>
    <xf numFmtId="0" fontId="2" fillId="3" borderId="1" xfId="0" applyFont="1" applyFill="1" applyBorder="1" applyAlignment="1"/>
    <xf numFmtId="0" fontId="3" fillId="3" borderId="1" xfId="0" applyFont="1" applyFill="1" applyBorder="1" applyAlignment="1"/>
    <xf numFmtId="0" fontId="2" fillId="3" borderId="1" xfId="0" applyFont="1" applyFill="1" applyBorder="1" applyAlignment="1">
      <alignment wrapText="1"/>
    </xf>
    <xf numFmtId="0" fontId="4" fillId="4" borderId="1" xfId="0" applyFont="1" applyFill="1" applyBorder="1" applyAlignment="1"/>
    <xf numFmtId="0" fontId="4" fillId="3" borderId="1" xfId="0" applyFont="1" applyFill="1" applyBorder="1" applyAlignment="1"/>
    <xf numFmtId="17" fontId="4" fillId="4" borderId="1" xfId="0" applyNumberFormat="1" applyFont="1" applyFill="1" applyBorder="1" applyAlignme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tabSelected="1" workbookViewId="0">
      <selection activeCell="D12" sqref="D12"/>
    </sheetView>
  </sheetViews>
  <sheetFormatPr defaultRowHeight="15" x14ac:dyDescent="0.2"/>
  <cols>
    <col min="1" max="1" width="9.140625" style="1"/>
    <col min="2" max="2" width="26" style="1" customWidth="1"/>
    <col min="3" max="3" width="12.7109375" style="1" bestFit="1" customWidth="1"/>
    <col min="4" max="5" width="11.85546875" style="1" bestFit="1" customWidth="1"/>
    <col min="6" max="6" width="11.140625" style="1" bestFit="1" customWidth="1"/>
    <col min="7" max="7" width="12.85546875" style="1" customWidth="1"/>
    <col min="8" max="9" width="10.7109375" style="1" bestFit="1" customWidth="1"/>
    <col min="10" max="10" width="11.140625" style="1" bestFit="1" customWidth="1"/>
    <col min="11" max="12" width="10.85546875" style="1" bestFit="1" customWidth="1"/>
    <col min="13" max="13" width="10.5703125" style="1" bestFit="1" customWidth="1"/>
    <col min="14" max="15" width="11" style="1" bestFit="1" customWidth="1"/>
    <col min="16" max="16384" width="9.140625" style="1"/>
  </cols>
  <sheetData>
    <row r="2" spans="2:14" ht="15.75" customHeight="1" x14ac:dyDescent="0.2">
      <c r="B2" s="11" t="s">
        <v>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2:14" ht="18" x14ac:dyDescent="0.25">
      <c r="B5" s="9" t="s">
        <v>8</v>
      </c>
      <c r="C5" s="10">
        <v>43922</v>
      </c>
      <c r="D5" s="10">
        <v>43952</v>
      </c>
      <c r="E5" s="10">
        <v>43983</v>
      </c>
      <c r="F5" s="10">
        <v>44013</v>
      </c>
      <c r="G5" s="10">
        <v>44044</v>
      </c>
      <c r="H5" s="10">
        <v>44075</v>
      </c>
      <c r="I5" s="10">
        <v>44105</v>
      </c>
      <c r="J5" s="10">
        <v>44136</v>
      </c>
      <c r="K5" s="10">
        <v>44166</v>
      </c>
      <c r="L5" s="10">
        <v>44197</v>
      </c>
      <c r="M5" s="10">
        <v>44228</v>
      </c>
      <c r="N5" s="10">
        <v>44256</v>
      </c>
    </row>
    <row r="6" spans="2:14" ht="18" x14ac:dyDescent="0.25">
      <c r="B6" s="9" t="s">
        <v>7</v>
      </c>
      <c r="C6" s="8">
        <v>2891</v>
      </c>
      <c r="D6" s="8">
        <f>C6+D7</f>
        <v>2917</v>
      </c>
      <c r="E6" s="8">
        <f>D6+E7</f>
        <v>2943</v>
      </c>
      <c r="F6" s="8">
        <v>3163</v>
      </c>
      <c r="G6" s="8"/>
      <c r="H6" s="8"/>
      <c r="I6" s="8"/>
      <c r="J6" s="8"/>
      <c r="K6" s="8"/>
      <c r="L6" s="8"/>
      <c r="M6" s="8"/>
      <c r="N6" s="8"/>
    </row>
    <row r="7" spans="2:14" ht="18" x14ac:dyDescent="0.25">
      <c r="B7" s="9" t="s">
        <v>6</v>
      </c>
      <c r="C7" s="8">
        <v>26</v>
      </c>
      <c r="D7" s="8">
        <v>26</v>
      </c>
      <c r="E7" s="8">
        <v>26</v>
      </c>
      <c r="F7" s="8">
        <f>F6-E6</f>
        <v>220</v>
      </c>
      <c r="G7" s="8">
        <f>G6-F6</f>
        <v>-3163</v>
      </c>
      <c r="H7" s="8">
        <f>H6-G6</f>
        <v>0</v>
      </c>
      <c r="I7" s="8">
        <f>I6-H6</f>
        <v>0</v>
      </c>
      <c r="J7" s="8">
        <f>J6-I6</f>
        <v>0</v>
      </c>
      <c r="K7" s="8">
        <f>K6-J6</f>
        <v>0</v>
      </c>
      <c r="L7" s="8">
        <f>L6-K6</f>
        <v>0</v>
      </c>
      <c r="M7" s="8">
        <f>M6-L6</f>
        <v>0</v>
      </c>
      <c r="N7" s="8">
        <f>N6-M6</f>
        <v>0</v>
      </c>
    </row>
    <row r="8" spans="2:14" ht="41.25" customHeight="1" x14ac:dyDescent="0.3">
      <c r="B8" s="6" t="s">
        <v>5</v>
      </c>
      <c r="C8" s="3">
        <v>90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</row>
    <row r="9" spans="2:14" ht="22.5" x14ac:dyDescent="0.3">
      <c r="B9" s="6" t="s">
        <v>4</v>
      </c>
      <c r="C9" s="3">
        <v>79.3</v>
      </c>
      <c r="D9" s="3">
        <f>3.46*D7</f>
        <v>89.96</v>
      </c>
      <c r="E9" s="3">
        <f>3.46*E7</f>
        <v>89.96</v>
      </c>
      <c r="F9" s="3">
        <f>3.46*F7</f>
        <v>761.2</v>
      </c>
      <c r="G9" s="3">
        <f>3.46*G7</f>
        <v>-10943.98</v>
      </c>
      <c r="H9" s="3">
        <f>3.46*H7</f>
        <v>0</v>
      </c>
      <c r="I9" s="3">
        <f>3.46*I7</f>
        <v>0</v>
      </c>
      <c r="J9" s="3">
        <f>3.46*J7</f>
        <v>0</v>
      </c>
      <c r="K9" s="3">
        <f>3.46*K7</f>
        <v>0</v>
      </c>
      <c r="L9" s="3">
        <f>3.46*L7</f>
        <v>0</v>
      </c>
      <c r="M9" s="3">
        <f>3.46*M7</f>
        <v>0</v>
      </c>
      <c r="N9" s="3">
        <f>3.46*N7</f>
        <v>0</v>
      </c>
    </row>
    <row r="10" spans="2:14" ht="45" x14ac:dyDescent="0.3">
      <c r="B10" s="7" t="s">
        <v>3</v>
      </c>
      <c r="C10" s="3">
        <v>33.28</v>
      </c>
      <c r="D10" s="3">
        <f>D7*1.45</f>
        <v>37.699999999999996</v>
      </c>
      <c r="E10" s="3">
        <f>E7*1.45</f>
        <v>37.699999999999996</v>
      </c>
      <c r="F10" s="3">
        <f>F7*1.45</f>
        <v>319</v>
      </c>
      <c r="G10" s="3">
        <f>G7*1.45</f>
        <v>-4586.3499999999995</v>
      </c>
      <c r="H10" s="3">
        <f>H7*1.45</f>
        <v>0</v>
      </c>
      <c r="I10" s="3">
        <f>I7*1.45</f>
        <v>0</v>
      </c>
      <c r="J10" s="3">
        <f>J7*1.45</f>
        <v>0</v>
      </c>
      <c r="K10" s="3">
        <f>K7*1.45</f>
        <v>0</v>
      </c>
      <c r="L10" s="3">
        <f>L7*1.45</f>
        <v>0</v>
      </c>
      <c r="M10" s="3">
        <f>M7*1.45</f>
        <v>0</v>
      </c>
      <c r="N10" s="3">
        <f>N7*1.45</f>
        <v>0</v>
      </c>
    </row>
    <row r="11" spans="2:14" ht="22.5" x14ac:dyDescent="0.3">
      <c r="B11" s="6" t="s">
        <v>2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22.5" x14ac:dyDescent="0.3">
      <c r="B12" s="5" t="s">
        <v>1</v>
      </c>
      <c r="C12" s="4">
        <f>(C8+C9+C10+C11)*0.16</f>
        <v>34.492800000000003</v>
      </c>
      <c r="D12" s="4">
        <f>(D8+D9+D10+D11)*0.16</f>
        <v>36.425599999999996</v>
      </c>
      <c r="E12" s="4">
        <f>(E8+E9+E10+E11)*0.16</f>
        <v>36.425599999999996</v>
      </c>
      <c r="F12" s="4">
        <f>(F8+F9+F10+F11)*0.16</f>
        <v>188.83200000000002</v>
      </c>
      <c r="G12" s="4">
        <f>(G8+G9+G10+G11)*0.16</f>
        <v>-2468.8527999999997</v>
      </c>
      <c r="H12" s="4">
        <f>(H8+H9+H10+H11)*0.16</f>
        <v>16</v>
      </c>
      <c r="I12" s="4">
        <f>(I8+I9+I10+I11)*0.16</f>
        <v>16</v>
      </c>
      <c r="J12" s="4">
        <f>(J8+J9+J10+J11)*0.16</f>
        <v>16</v>
      </c>
      <c r="K12" s="4">
        <f>(K8+K9+K10+K11)*0.16</f>
        <v>16</v>
      </c>
      <c r="L12" s="4">
        <f>(L8+L9+L10+L11)*0.16</f>
        <v>16</v>
      </c>
      <c r="M12" s="4">
        <f>(M8+M9+M10+M11)*0.16</f>
        <v>16</v>
      </c>
      <c r="N12" s="4">
        <f>(N8+N9+N10+N11)*0.16</f>
        <v>16</v>
      </c>
    </row>
    <row r="13" spans="2:14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x14ac:dyDescent="0.2">
      <c r="B14" s="2" t="s">
        <v>0</v>
      </c>
      <c r="C14" s="2">
        <f>SUM(C8:C12)</f>
        <v>250.07280000000003</v>
      </c>
      <c r="D14" s="2">
        <f>SUM(D8:D12)</f>
        <v>264.08559999999994</v>
      </c>
      <c r="E14" s="2">
        <f>SUM(E8:E12)</f>
        <v>264.08559999999994</v>
      </c>
      <c r="F14" s="2">
        <f>SUM(F8:F12)</f>
        <v>1369.0320000000002</v>
      </c>
      <c r="G14" s="2">
        <f>SUM(G8:G12)</f>
        <v>-17899.182799999999</v>
      </c>
      <c r="H14" s="2">
        <f>SUM(H8:H12)</f>
        <v>116</v>
      </c>
      <c r="I14" s="2">
        <f>SUM(I8:I12)</f>
        <v>116</v>
      </c>
      <c r="J14" s="2">
        <f>SUM(J8:J12)</f>
        <v>116</v>
      </c>
      <c r="K14" s="2">
        <f>SUM(K8:K12)</f>
        <v>116</v>
      </c>
      <c r="L14" s="2">
        <f>SUM(L8:L12)</f>
        <v>116</v>
      </c>
      <c r="M14" s="2">
        <f>SUM(M8:M12)</f>
        <v>116</v>
      </c>
      <c r="N14" s="2">
        <f>SUM(N8:N12)</f>
        <v>116</v>
      </c>
    </row>
  </sheetData>
  <mergeCells count="1">
    <mergeCell ref="B2:N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2020-07-28T07:48:39Z</dcterms:created>
  <dcterms:modified xsi:type="dcterms:W3CDTF">2020-07-28T10:34:02Z</dcterms:modified>
</cp:coreProperties>
</file>