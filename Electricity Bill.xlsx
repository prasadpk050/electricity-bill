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ll\Electricity Bill\"/>
    </mc:Choice>
  </mc:AlternateContent>
  <xr:revisionPtr revIDLastSave="0" documentId="13_ncr:1_{A82C7FEF-E618-4B94-8DE4-2F964BDCADD1}" xr6:coauthVersionLast="47" xr6:coauthVersionMax="47" xr10:uidLastSave="{00000000-0000-0000-0000-000000000000}"/>
  <bookViews>
    <workbookView xWindow="-120" yWindow="-120" windowWidth="38640" windowHeight="15840" activeTab="1" xr2:uid="{758B6BCB-81A4-417D-A111-AD9243C16038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5" i="2"/>
  <c r="E4" i="2"/>
  <c r="D13" i="2"/>
  <c r="D74" i="1"/>
  <c r="D40" i="1"/>
  <c r="D50" i="1"/>
  <c r="D57" i="1" s="1"/>
</calcChain>
</file>

<file path=xl/sharedStrings.xml><?xml version="1.0" encoding="utf-8"?>
<sst xmlns="http://schemas.openxmlformats.org/spreadsheetml/2006/main" count="45" uniqueCount="18">
  <si>
    <t>From Jane 2021 to Sept 2021</t>
  </si>
  <si>
    <t>PRAVIN KAKA</t>
  </si>
  <si>
    <t>2950+10730 = 13680</t>
  </si>
  <si>
    <t>11710+440 = 12150</t>
  </si>
  <si>
    <t>Farm Bill</t>
  </si>
  <si>
    <t xml:space="preserve">Month </t>
  </si>
  <si>
    <t>ELECTRICITY BILL 2023</t>
  </si>
  <si>
    <t>ELECTRICITY BILL 2024</t>
  </si>
  <si>
    <t>Total</t>
  </si>
  <si>
    <t>Amount</t>
  </si>
  <si>
    <t>Date</t>
  </si>
  <si>
    <t>Home Bill</t>
  </si>
  <si>
    <t>ELECTRICITY BILL 2025</t>
  </si>
  <si>
    <t>Month</t>
  </si>
  <si>
    <t>Date of Payment</t>
  </si>
  <si>
    <t>Pravin kaka</t>
  </si>
  <si>
    <t>Total Bill</t>
  </si>
  <si>
    <t>ELECTRICITY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</si>
</sst>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8"/>
      <color rgb="FFC00000"/>
      <name val="Times New Roman"/>
      <family val="1"/>
    </font>
    <font>
      <b/>
      <sz val="22"/>
      <color rgb="FF002060"/>
      <name val="Times New Roman"/>
      <family val="1"/>
    </font>
    <font>
      <b/>
      <sz val="16"/>
      <color rgb="FFC0000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Lucida Fax"/>
      <family val="1"/>
    </font>
    <font>
      <b/>
      <sz val="2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3" xfId="0" applyFont="1" applyBorder="1"/>
    <xf numFmtId="17" fontId="1" fillId="0" borderId="3" xfId="0" applyNumberFormat="1" applyFont="1" applyBorder="1"/>
    <xf numFmtId="0" fontId="1" fillId="2" borderId="3" xfId="0" applyFont="1" applyFill="1" applyBorder="1"/>
    <xf numFmtId="0" fontId="1" fillId="0" borderId="0" xfId="0" applyFont="1"/>
    <xf numFmtId="0" fontId="0" fillId="0" borderId="3" xfId="0" applyBorder="1"/>
    <xf numFmtId="0" fontId="2" fillId="0" borderId="3" xfId="0" applyFont="1" applyBorder="1"/>
    <xf numFmtId="0" fontId="4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3" xfId="0" applyNumberFormat="1" applyFont="1" applyBorder="1"/>
    <xf numFmtId="0" fontId="6" fillId="0" borderId="3" xfId="0" applyFont="1" applyBorder="1"/>
    <xf numFmtId="0" fontId="7" fillId="2" borderId="3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4" fontId="1" fillId="2" borderId="3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" fontId="5" fillId="2" borderId="8" xfId="0" applyNumberFormat="1" applyFont="1" applyFill="1" applyBorder="1" applyAlignment="1">
      <alignment horizontal="center" vertical="center"/>
    </xf>
    <xf numFmtId="17" fontId="5" fillId="2" borderId="9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17" fontId="1" fillId="0" borderId="9" xfId="0" applyNumberFormat="1" applyFont="1" applyBorder="1"/>
    <xf numFmtId="17" fontId="1" fillId="2" borderId="9" xfId="0" applyNumberFormat="1" applyFont="1" applyFill="1" applyBorder="1"/>
    <xf numFmtId="0" fontId="1" fillId="0" borderId="8" xfId="0" applyFont="1" applyBorder="1"/>
    <xf numFmtId="0" fontId="1" fillId="2" borderId="8" xfId="0" applyFont="1" applyFill="1" applyBorder="1"/>
    <xf numFmtId="17" fontId="1" fillId="0" borderId="4" xfId="0" applyNumberFormat="1" applyFont="1" applyBorder="1"/>
    <xf numFmtId="14" fontId="1" fillId="0" borderId="6" xfId="0" applyNumberFormat="1" applyFont="1" applyBorder="1"/>
    <xf numFmtId="0" fontId="1" fillId="0" borderId="6" xfId="0" applyFont="1" applyBorder="1"/>
    <xf numFmtId="0" fontId="1" fillId="0" borderId="5" xfId="0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Fax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2" formatCode="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Table Style 1" pivot="0" count="2" xr9:uid="{020E28CC-1C20-445D-86F9-E18D152F948B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D6B45-78FC-4EE7-8C5F-EB4C05A98893}" name="Table2" displayName="Table2" ref="B3:F35" totalsRowShown="0" headerRowDxfId="1" headerRowBorderDxfId="8" tableBorderDxfId="9" totalsRowBorderDxfId="7">
  <autoFilter ref="B3:F35" xr:uid="{DF9D6B45-78FC-4EE7-8C5F-EB4C05A9889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8994AF5-9227-41BD-92AA-DE718B43125B}" name="Month" dataDxfId="6"/>
    <tableColumn id="2" xr3:uid="{93EFD715-46F7-40AB-819F-6EE4A71A9D31}" name="Date of Payment" dataDxfId="5"/>
    <tableColumn id="3" xr3:uid="{1020FEEE-A351-428E-AB0C-5F72D33B4BC2}" name="Amount" dataDxfId="4"/>
    <tableColumn id="4" xr3:uid="{E6069D22-FFD9-4597-B90C-7D78FB2943A4}" name="Total Bill" dataDxfId="3">
      <calculatedColumnFormula>D4+E3-F3</calculatedColumnFormula>
    </tableColumn>
    <tableColumn id="5" xr3:uid="{80EF591D-5AE9-4D67-95AC-30465216DCF5}" name="Pravin kaka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4DCC-4327-4821-8E43-A34D1EDD4EEE}">
  <dimension ref="B2:X74"/>
  <sheetViews>
    <sheetView topLeftCell="A31" workbookViewId="0">
      <selection activeCell="B42" sqref="B42:F42"/>
    </sheetView>
  </sheetViews>
  <sheetFormatPr defaultRowHeight="15" x14ac:dyDescent="0.25"/>
  <cols>
    <col min="2" max="2" width="12.5703125" customWidth="1"/>
    <col min="3" max="3" width="14.85546875" customWidth="1"/>
    <col min="4" max="4" width="13.7109375" customWidth="1"/>
    <col min="5" max="5" width="15.28515625" customWidth="1"/>
    <col min="6" max="6" width="14.5703125" customWidth="1"/>
  </cols>
  <sheetData>
    <row r="2" spans="2:13" ht="27" x14ac:dyDescent="0.35">
      <c r="B2" s="15" t="s">
        <v>6</v>
      </c>
      <c r="C2" s="16"/>
      <c r="D2" s="16"/>
      <c r="E2" s="16"/>
      <c r="F2" s="17"/>
    </row>
    <row r="3" spans="2:13" ht="20.25" x14ac:dyDescent="0.25">
      <c r="B3" s="18" t="s">
        <v>5</v>
      </c>
      <c r="C3" s="20" t="s">
        <v>11</v>
      </c>
      <c r="D3" s="21"/>
      <c r="E3" s="20" t="s">
        <v>4</v>
      </c>
      <c r="F3" s="21"/>
    </row>
    <row r="4" spans="2:13" ht="20.25" x14ac:dyDescent="0.25">
      <c r="B4" s="19"/>
      <c r="C4" s="7" t="s">
        <v>10</v>
      </c>
      <c r="D4" s="7" t="s">
        <v>9</v>
      </c>
      <c r="E4" s="7" t="s">
        <v>10</v>
      </c>
      <c r="F4" s="7" t="s">
        <v>9</v>
      </c>
    </row>
    <row r="5" spans="2:13" ht="18.75" x14ac:dyDescent="0.3">
      <c r="B5" s="2">
        <v>44896</v>
      </c>
      <c r="C5" s="1">
        <v>1020</v>
      </c>
      <c r="D5" s="1"/>
      <c r="E5" s="1"/>
      <c r="F5" s="26" t="s">
        <v>3</v>
      </c>
    </row>
    <row r="6" spans="2:13" ht="18.75" x14ac:dyDescent="0.3">
      <c r="B6" s="2">
        <v>44866</v>
      </c>
      <c r="C6" s="1">
        <v>1640</v>
      </c>
      <c r="D6" s="1"/>
      <c r="E6" s="1"/>
      <c r="F6" s="26"/>
    </row>
    <row r="7" spans="2:13" ht="18.75" x14ac:dyDescent="0.3">
      <c r="B7" s="2">
        <v>44835</v>
      </c>
      <c r="C7" s="3">
        <v>2030</v>
      </c>
      <c r="D7" s="3"/>
      <c r="E7" s="1"/>
      <c r="F7" s="26"/>
    </row>
    <row r="8" spans="2:13" ht="18.75" x14ac:dyDescent="0.3">
      <c r="B8" s="2">
        <v>44805</v>
      </c>
      <c r="C8" s="1">
        <v>970</v>
      </c>
      <c r="D8" s="1"/>
      <c r="E8" s="1"/>
      <c r="F8" s="26"/>
    </row>
    <row r="9" spans="2:13" ht="18.75" x14ac:dyDescent="0.3">
      <c r="B9" s="2">
        <v>44774</v>
      </c>
      <c r="C9" s="1">
        <v>910</v>
      </c>
      <c r="D9" s="1"/>
      <c r="E9" s="1"/>
      <c r="F9" s="26"/>
    </row>
    <row r="10" spans="2:13" ht="18.75" x14ac:dyDescent="0.3">
      <c r="B10" s="2">
        <v>44743</v>
      </c>
      <c r="C10" s="1">
        <v>1180</v>
      </c>
      <c r="D10" s="1"/>
      <c r="E10" s="1"/>
      <c r="F10" s="26"/>
    </row>
    <row r="11" spans="2:13" ht="18.75" x14ac:dyDescent="0.3">
      <c r="B11" s="2">
        <v>44713</v>
      </c>
      <c r="C11" s="1">
        <v>1060</v>
      </c>
      <c r="D11" s="1"/>
      <c r="E11" s="1"/>
      <c r="F11" s="26"/>
    </row>
    <row r="12" spans="2:13" ht="18.75" customHeight="1" x14ac:dyDescent="0.3">
      <c r="B12" s="2">
        <v>44682</v>
      </c>
      <c r="C12" s="1">
        <v>680</v>
      </c>
      <c r="D12" s="1"/>
      <c r="E12" s="1"/>
      <c r="F12" s="26"/>
      <c r="M12" s="4"/>
    </row>
    <row r="13" spans="2:13" ht="18.75" x14ac:dyDescent="0.3">
      <c r="B13" s="2">
        <v>44652</v>
      </c>
      <c r="C13" s="1">
        <v>570</v>
      </c>
      <c r="D13" s="1"/>
      <c r="E13" s="1"/>
      <c r="F13" s="26"/>
      <c r="M13" s="4"/>
    </row>
    <row r="14" spans="2:13" ht="18.75" x14ac:dyDescent="0.3">
      <c r="B14" s="2">
        <v>44621</v>
      </c>
      <c r="C14" s="1">
        <v>360</v>
      </c>
      <c r="D14" s="1"/>
      <c r="E14" s="1"/>
      <c r="F14" s="26"/>
      <c r="M14" s="4"/>
    </row>
    <row r="15" spans="2:13" ht="18.75" x14ac:dyDescent="0.3">
      <c r="B15" s="2">
        <v>44593</v>
      </c>
      <c r="C15" s="1">
        <v>840</v>
      </c>
      <c r="D15" s="1"/>
      <c r="E15" s="1">
        <v>440</v>
      </c>
      <c r="F15" s="26"/>
      <c r="M15" s="4"/>
    </row>
    <row r="16" spans="2:13" ht="18.75" x14ac:dyDescent="0.3">
      <c r="B16" s="2">
        <v>44562</v>
      </c>
      <c r="C16" s="1">
        <v>450</v>
      </c>
      <c r="D16" s="1"/>
      <c r="E16" s="1"/>
      <c r="F16" s="26"/>
      <c r="M16" s="4"/>
    </row>
    <row r="17" spans="2:24" ht="18.75" x14ac:dyDescent="0.3">
      <c r="B17" s="2">
        <v>44531</v>
      </c>
      <c r="C17" s="1">
        <v>880</v>
      </c>
      <c r="D17" s="1"/>
      <c r="E17" s="1">
        <v>10730</v>
      </c>
      <c r="F17" s="26" t="s">
        <v>2</v>
      </c>
      <c r="M17" s="4"/>
    </row>
    <row r="18" spans="2:24" ht="18.75" x14ac:dyDescent="0.3">
      <c r="B18" s="2">
        <v>44501</v>
      </c>
      <c r="C18" s="1">
        <v>280</v>
      </c>
      <c r="D18" s="1"/>
      <c r="E18" s="1"/>
      <c r="F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ht="18.75" x14ac:dyDescent="0.3">
      <c r="B19" s="2">
        <v>44470</v>
      </c>
      <c r="C19" s="1">
        <v>470</v>
      </c>
      <c r="D19" s="1"/>
      <c r="E19" s="1"/>
      <c r="F19" s="26"/>
      <c r="M19" s="4"/>
    </row>
    <row r="20" spans="2:24" ht="18.75" x14ac:dyDescent="0.3">
      <c r="B20" s="2">
        <v>44440</v>
      </c>
      <c r="C20" s="1">
        <v>760</v>
      </c>
      <c r="D20" s="1"/>
      <c r="E20" s="1"/>
      <c r="F20" s="26"/>
    </row>
    <row r="21" spans="2:24" ht="18.75" x14ac:dyDescent="0.3">
      <c r="B21" s="2">
        <v>44409</v>
      </c>
      <c r="C21" s="1">
        <v>560</v>
      </c>
      <c r="D21" s="1"/>
      <c r="E21" s="1"/>
      <c r="F21" s="26"/>
    </row>
    <row r="22" spans="2:24" ht="18.75" x14ac:dyDescent="0.25">
      <c r="B22" s="24" t="s">
        <v>1</v>
      </c>
      <c r="C22" s="25">
        <v>3500</v>
      </c>
      <c r="D22" s="8"/>
      <c r="E22" s="27" t="s">
        <v>0</v>
      </c>
      <c r="F22" s="28"/>
    </row>
    <row r="23" spans="2:24" ht="18.75" x14ac:dyDescent="0.25">
      <c r="B23" s="24"/>
      <c r="C23" s="25"/>
      <c r="D23" s="9"/>
      <c r="E23" s="29"/>
      <c r="F23" s="30"/>
    </row>
    <row r="25" spans="2:24" ht="27" x14ac:dyDescent="0.35">
      <c r="B25" s="15" t="s">
        <v>6</v>
      </c>
      <c r="C25" s="16"/>
      <c r="D25" s="16"/>
      <c r="E25" s="16"/>
      <c r="F25" s="17"/>
    </row>
    <row r="26" spans="2:24" ht="20.25" x14ac:dyDescent="0.25">
      <c r="B26" s="18" t="s">
        <v>5</v>
      </c>
      <c r="C26" s="20" t="s">
        <v>11</v>
      </c>
      <c r="D26" s="21"/>
      <c r="E26" s="20" t="s">
        <v>4</v>
      </c>
      <c r="F26" s="21"/>
    </row>
    <row r="27" spans="2:24" ht="20.25" x14ac:dyDescent="0.25">
      <c r="B27" s="19"/>
      <c r="C27" s="7" t="s">
        <v>10</v>
      </c>
      <c r="D27" s="7" t="s">
        <v>9</v>
      </c>
      <c r="E27" s="7" t="s">
        <v>10</v>
      </c>
      <c r="F27" s="7" t="s">
        <v>9</v>
      </c>
    </row>
    <row r="28" spans="2:24" ht="18.75" x14ac:dyDescent="0.3">
      <c r="B28" s="2">
        <v>44927</v>
      </c>
      <c r="C28" s="1"/>
      <c r="D28" s="1">
        <v>730</v>
      </c>
      <c r="E28" s="5"/>
      <c r="F28" s="5"/>
    </row>
    <row r="29" spans="2:24" ht="18.75" x14ac:dyDescent="0.3">
      <c r="B29" s="2">
        <v>44958</v>
      </c>
      <c r="C29" s="1"/>
      <c r="D29" s="1">
        <v>710</v>
      </c>
      <c r="E29" s="5"/>
      <c r="F29" s="5"/>
    </row>
    <row r="30" spans="2:24" ht="18.75" x14ac:dyDescent="0.3">
      <c r="B30" s="2">
        <v>44986</v>
      </c>
      <c r="C30" s="1"/>
      <c r="D30" s="1">
        <v>700</v>
      </c>
      <c r="E30" s="5"/>
      <c r="F30" s="5"/>
    </row>
    <row r="31" spans="2:24" ht="18.75" customHeight="1" x14ac:dyDescent="0.3">
      <c r="B31" s="2">
        <v>45017</v>
      </c>
      <c r="C31" s="1"/>
      <c r="D31" s="1">
        <v>600</v>
      </c>
      <c r="E31" s="5"/>
      <c r="F31" s="5"/>
    </row>
    <row r="32" spans="2:24" ht="18.75" customHeight="1" x14ac:dyDescent="0.3">
      <c r="B32" s="2">
        <v>45047</v>
      </c>
      <c r="C32" s="1"/>
      <c r="D32" s="1">
        <v>770</v>
      </c>
      <c r="E32" s="5"/>
      <c r="F32" s="5"/>
    </row>
    <row r="33" spans="2:6" ht="18.75" x14ac:dyDescent="0.3">
      <c r="B33" s="2">
        <v>45078</v>
      </c>
      <c r="C33" s="1"/>
      <c r="D33" s="1">
        <v>710</v>
      </c>
      <c r="E33" s="5"/>
      <c r="F33" s="5"/>
    </row>
    <row r="34" spans="2:6" ht="18.75" x14ac:dyDescent="0.3">
      <c r="B34" s="2">
        <v>45108</v>
      </c>
      <c r="C34" s="1"/>
      <c r="D34" s="1">
        <v>710</v>
      </c>
      <c r="E34" s="5"/>
      <c r="F34" s="5"/>
    </row>
    <row r="35" spans="2:6" ht="22.5" x14ac:dyDescent="0.3">
      <c r="B35" s="2">
        <v>45139</v>
      </c>
      <c r="C35" s="1"/>
      <c r="D35" s="1"/>
      <c r="E35" s="6"/>
      <c r="F35" s="6"/>
    </row>
    <row r="36" spans="2:6" ht="22.5" x14ac:dyDescent="0.3">
      <c r="B36" s="2">
        <v>45170</v>
      </c>
      <c r="C36" s="10">
        <v>45560</v>
      </c>
      <c r="D36" s="1">
        <v>1080</v>
      </c>
      <c r="E36" s="6"/>
      <c r="F36" s="6"/>
    </row>
    <row r="37" spans="2:6" ht="22.5" x14ac:dyDescent="0.3">
      <c r="B37" s="2">
        <v>45200</v>
      </c>
      <c r="C37" s="10">
        <v>45225</v>
      </c>
      <c r="D37" s="1">
        <v>1360</v>
      </c>
      <c r="E37" s="6"/>
      <c r="F37" s="6"/>
    </row>
    <row r="38" spans="2:6" ht="22.5" customHeight="1" x14ac:dyDescent="0.3">
      <c r="B38" s="2">
        <v>45231</v>
      </c>
      <c r="C38" s="10">
        <v>45252</v>
      </c>
      <c r="D38" s="1">
        <v>1360</v>
      </c>
      <c r="E38" s="6"/>
      <c r="F38" s="6"/>
    </row>
    <row r="39" spans="2:6" ht="22.5" x14ac:dyDescent="0.3">
      <c r="B39" s="2">
        <v>45261</v>
      </c>
      <c r="C39" s="10">
        <v>45284</v>
      </c>
      <c r="D39" s="1">
        <v>960</v>
      </c>
      <c r="E39" s="6"/>
      <c r="F39" s="6"/>
    </row>
    <row r="40" spans="2:6" ht="22.5" x14ac:dyDescent="0.3">
      <c r="B40" s="22" t="s">
        <v>8</v>
      </c>
      <c r="C40" s="23"/>
      <c r="D40" s="12">
        <f>SUM(D28:D39)</f>
        <v>9690</v>
      </c>
      <c r="E40" s="6"/>
      <c r="F40" s="6"/>
    </row>
    <row r="42" spans="2:6" ht="27" x14ac:dyDescent="0.35">
      <c r="B42" s="31" t="s">
        <v>7</v>
      </c>
      <c r="C42" s="31"/>
      <c r="D42" s="31"/>
      <c r="E42" s="31"/>
      <c r="F42" s="31"/>
    </row>
    <row r="43" spans="2:6" ht="20.25" x14ac:dyDescent="0.25">
      <c r="B43" s="18" t="s">
        <v>5</v>
      </c>
      <c r="C43" s="20" t="s">
        <v>11</v>
      </c>
      <c r="D43" s="21"/>
      <c r="E43" s="20" t="s">
        <v>4</v>
      </c>
      <c r="F43" s="21"/>
    </row>
    <row r="44" spans="2:6" ht="20.25" x14ac:dyDescent="0.25">
      <c r="B44" s="19"/>
      <c r="C44" s="7" t="s">
        <v>10</v>
      </c>
      <c r="D44" s="7" t="s">
        <v>9</v>
      </c>
      <c r="E44" s="7" t="s">
        <v>10</v>
      </c>
      <c r="F44" s="7" t="s">
        <v>9</v>
      </c>
    </row>
    <row r="45" spans="2:6" ht="18.75" x14ac:dyDescent="0.3">
      <c r="B45" s="2">
        <v>45292</v>
      </c>
      <c r="C45" s="10">
        <v>45311</v>
      </c>
      <c r="D45" s="1">
        <v>1090</v>
      </c>
      <c r="E45" s="5"/>
      <c r="F45" s="5"/>
    </row>
    <row r="46" spans="2:6" ht="18.75" x14ac:dyDescent="0.3">
      <c r="B46" s="2">
        <v>45323</v>
      </c>
      <c r="C46" s="10">
        <v>45351</v>
      </c>
      <c r="D46" s="1">
        <v>1060</v>
      </c>
      <c r="E46" s="5"/>
      <c r="F46" s="5"/>
    </row>
    <row r="47" spans="2:6" ht="18.75" x14ac:dyDescent="0.3">
      <c r="B47" s="2">
        <v>45352</v>
      </c>
      <c r="C47" s="10">
        <v>45372</v>
      </c>
      <c r="D47" s="1">
        <v>870</v>
      </c>
      <c r="E47" s="5"/>
      <c r="F47" s="5"/>
    </row>
    <row r="48" spans="2:6" ht="18.75" x14ac:dyDescent="0.3">
      <c r="B48" s="2">
        <v>45383</v>
      </c>
      <c r="C48" s="10">
        <v>45405</v>
      </c>
      <c r="D48" s="1">
        <v>1240</v>
      </c>
      <c r="E48" s="5"/>
      <c r="F48" s="5"/>
    </row>
    <row r="49" spans="2:6" ht="18.75" x14ac:dyDescent="0.3">
      <c r="B49" s="2">
        <v>45413</v>
      </c>
      <c r="C49" s="10">
        <v>45441</v>
      </c>
      <c r="D49" s="1">
        <v>1600</v>
      </c>
      <c r="E49" s="5"/>
      <c r="F49" s="5"/>
    </row>
    <row r="50" spans="2:6" ht="18.75" x14ac:dyDescent="0.3">
      <c r="B50" s="2">
        <v>45444</v>
      </c>
      <c r="C50" s="10">
        <v>45472</v>
      </c>
      <c r="D50" s="1">
        <f>1600+350</f>
        <v>1950</v>
      </c>
      <c r="E50" s="5"/>
      <c r="F50" s="5"/>
    </row>
    <row r="51" spans="2:6" ht="18.75" x14ac:dyDescent="0.3">
      <c r="B51" s="2">
        <v>45474</v>
      </c>
      <c r="C51" s="10">
        <v>45516</v>
      </c>
      <c r="D51" s="1">
        <v>800</v>
      </c>
      <c r="E51" s="5"/>
      <c r="F51" s="5"/>
    </row>
    <row r="52" spans="2:6" ht="22.5" x14ac:dyDescent="0.3">
      <c r="B52" s="2">
        <v>45505</v>
      </c>
      <c r="C52" s="10">
        <v>45536</v>
      </c>
      <c r="D52" s="1">
        <v>780</v>
      </c>
      <c r="E52" s="6"/>
      <c r="F52" s="6"/>
    </row>
    <row r="53" spans="2:6" ht="22.5" x14ac:dyDescent="0.3">
      <c r="B53" s="2">
        <v>45536</v>
      </c>
      <c r="C53" s="10">
        <v>45569</v>
      </c>
      <c r="D53" s="1">
        <v>850</v>
      </c>
      <c r="E53" s="6"/>
      <c r="F53" s="6"/>
    </row>
    <row r="54" spans="2:6" ht="22.5" x14ac:dyDescent="0.3">
      <c r="B54" s="2">
        <v>45566</v>
      </c>
      <c r="C54" s="10">
        <v>45588</v>
      </c>
      <c r="D54" s="1">
        <v>1080</v>
      </c>
      <c r="E54" s="6"/>
      <c r="F54" s="6"/>
    </row>
    <row r="55" spans="2:6" ht="22.5" x14ac:dyDescent="0.3">
      <c r="B55" s="2">
        <v>45597</v>
      </c>
      <c r="C55" s="10">
        <v>45625</v>
      </c>
      <c r="D55" s="1">
        <v>1260</v>
      </c>
      <c r="E55" s="6"/>
      <c r="F55" s="6"/>
    </row>
    <row r="56" spans="2:6" ht="22.5" x14ac:dyDescent="0.3">
      <c r="B56" s="2">
        <v>45627</v>
      </c>
      <c r="C56" s="10">
        <v>45650</v>
      </c>
      <c r="D56" s="1">
        <v>990</v>
      </c>
      <c r="E56" s="6"/>
      <c r="F56" s="6"/>
    </row>
    <row r="57" spans="2:6" ht="22.5" x14ac:dyDescent="0.3">
      <c r="B57" s="22" t="s">
        <v>8</v>
      </c>
      <c r="C57" s="23"/>
      <c r="D57" s="12">
        <f>SUM(D45:D56)</f>
        <v>13570</v>
      </c>
      <c r="E57" s="6"/>
      <c r="F57" s="6"/>
    </row>
    <row r="59" spans="2:6" ht="27" x14ac:dyDescent="0.35">
      <c r="B59" s="31" t="s">
        <v>12</v>
      </c>
      <c r="C59" s="31"/>
      <c r="D59" s="31"/>
      <c r="E59" s="31"/>
      <c r="F59" s="31"/>
    </row>
    <row r="60" spans="2:6" ht="20.25" x14ac:dyDescent="0.25">
      <c r="B60" s="18" t="s">
        <v>5</v>
      </c>
      <c r="C60" s="20" t="s">
        <v>11</v>
      </c>
      <c r="D60" s="21"/>
      <c r="E60" s="20" t="s">
        <v>4</v>
      </c>
      <c r="F60" s="21"/>
    </row>
    <row r="61" spans="2:6" ht="20.25" x14ac:dyDescent="0.25">
      <c r="B61" s="19"/>
      <c r="C61" s="7" t="s">
        <v>10</v>
      </c>
      <c r="D61" s="7" t="s">
        <v>9</v>
      </c>
      <c r="E61" s="7" t="s">
        <v>10</v>
      </c>
      <c r="F61" s="7" t="s">
        <v>9</v>
      </c>
    </row>
    <row r="62" spans="2:6" ht="18.75" x14ac:dyDescent="0.3">
      <c r="B62" s="2">
        <v>45658</v>
      </c>
      <c r="C62" s="10">
        <v>45681</v>
      </c>
      <c r="D62" s="1">
        <v>570</v>
      </c>
      <c r="E62" s="5"/>
      <c r="F62" s="5"/>
    </row>
    <row r="63" spans="2:6" ht="18.75" x14ac:dyDescent="0.3">
      <c r="B63" s="2">
        <v>45689</v>
      </c>
      <c r="C63" s="10">
        <v>45725</v>
      </c>
      <c r="D63" s="1">
        <v>600</v>
      </c>
      <c r="E63" s="5"/>
      <c r="F63" s="5"/>
    </row>
    <row r="64" spans="2:6" ht="18.75" x14ac:dyDescent="0.3">
      <c r="B64" s="2">
        <v>45717</v>
      </c>
      <c r="C64" s="10">
        <v>45751</v>
      </c>
      <c r="D64" s="1">
        <v>1160</v>
      </c>
      <c r="E64" s="5"/>
      <c r="F64" s="5"/>
    </row>
    <row r="65" spans="2:6" ht="18.75" x14ac:dyDescent="0.3">
      <c r="B65" s="2">
        <v>45748</v>
      </c>
      <c r="C65" s="10">
        <v>45778</v>
      </c>
      <c r="D65" s="1">
        <v>1340</v>
      </c>
      <c r="E65" s="5"/>
      <c r="F65" s="5"/>
    </row>
    <row r="66" spans="2:6" ht="18.75" x14ac:dyDescent="0.3">
      <c r="B66" s="2">
        <v>45778</v>
      </c>
      <c r="C66" s="10"/>
      <c r="D66" s="1"/>
      <c r="E66" s="5"/>
      <c r="F66" s="5"/>
    </row>
    <row r="67" spans="2:6" ht="18.75" x14ac:dyDescent="0.3">
      <c r="B67" s="2">
        <v>45809</v>
      </c>
      <c r="C67" s="10"/>
      <c r="D67" s="1"/>
      <c r="E67" s="5"/>
      <c r="F67" s="5"/>
    </row>
    <row r="68" spans="2:6" ht="18.75" x14ac:dyDescent="0.3">
      <c r="B68" s="2">
        <v>45839</v>
      </c>
      <c r="C68" s="10"/>
      <c r="D68" s="1"/>
      <c r="E68" s="5"/>
      <c r="F68" s="5"/>
    </row>
    <row r="69" spans="2:6" ht="22.5" x14ac:dyDescent="0.3">
      <c r="B69" s="2">
        <v>45870</v>
      </c>
      <c r="C69" s="10"/>
      <c r="D69" s="1"/>
      <c r="E69" s="6"/>
      <c r="F69" s="6"/>
    </row>
    <row r="70" spans="2:6" ht="22.5" x14ac:dyDescent="0.3">
      <c r="B70" s="2">
        <v>45901</v>
      </c>
      <c r="C70" s="10"/>
      <c r="D70" s="1"/>
      <c r="E70" s="6"/>
      <c r="F70" s="6"/>
    </row>
    <row r="71" spans="2:6" ht="22.5" x14ac:dyDescent="0.3">
      <c r="B71" s="2">
        <v>45931</v>
      </c>
      <c r="C71" s="10"/>
      <c r="D71" s="1"/>
      <c r="E71" s="6"/>
      <c r="F71" s="6"/>
    </row>
    <row r="72" spans="2:6" ht="22.5" x14ac:dyDescent="0.3">
      <c r="B72" s="2">
        <v>45962</v>
      </c>
      <c r="C72" s="10"/>
      <c r="D72" s="1"/>
      <c r="E72" s="6"/>
      <c r="F72" s="6"/>
    </row>
    <row r="73" spans="2:6" ht="22.5" x14ac:dyDescent="0.3">
      <c r="B73" s="2">
        <v>45992</v>
      </c>
      <c r="C73" s="11"/>
      <c r="D73" s="1"/>
      <c r="E73" s="6"/>
      <c r="F73" s="6"/>
    </row>
    <row r="74" spans="2:6" ht="22.5" x14ac:dyDescent="0.3">
      <c r="B74" s="22" t="s">
        <v>8</v>
      </c>
      <c r="C74" s="23"/>
      <c r="D74" s="12">
        <f>SUM(D62:D73)</f>
        <v>3670</v>
      </c>
      <c r="E74" s="6"/>
      <c r="F74" s="6"/>
    </row>
  </sheetData>
  <mergeCells count="24">
    <mergeCell ref="B59:F59"/>
    <mergeCell ref="B60:B61"/>
    <mergeCell ref="C60:D60"/>
    <mergeCell ref="E60:F60"/>
    <mergeCell ref="B74:C74"/>
    <mergeCell ref="B42:F42"/>
    <mergeCell ref="B43:B44"/>
    <mergeCell ref="C43:D43"/>
    <mergeCell ref="B57:C57"/>
    <mergeCell ref="E43:F43"/>
    <mergeCell ref="B2:F2"/>
    <mergeCell ref="B3:B4"/>
    <mergeCell ref="C3:D3"/>
    <mergeCell ref="E3:F3"/>
    <mergeCell ref="B40:C40"/>
    <mergeCell ref="B26:B27"/>
    <mergeCell ref="C26:D26"/>
    <mergeCell ref="E26:F26"/>
    <mergeCell ref="B22:B23"/>
    <mergeCell ref="C22:C23"/>
    <mergeCell ref="B25:F25"/>
    <mergeCell ref="F17:F21"/>
    <mergeCell ref="E22:F23"/>
    <mergeCell ref="F5:F16"/>
  </mergeCells>
  <printOptions horizontalCentere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7866-2F8A-4111-9819-FF1376F01ED1}">
  <dimension ref="B2:F35"/>
  <sheetViews>
    <sheetView tabSelected="1" topLeftCell="A9" workbookViewId="0">
      <selection activeCell="C23" sqref="C23"/>
    </sheetView>
  </sheetViews>
  <sheetFormatPr defaultRowHeight="15" x14ac:dyDescent="0.25"/>
  <cols>
    <col min="2" max="2" width="10.85546875" customWidth="1"/>
    <col min="3" max="3" width="22.85546875" customWidth="1"/>
    <col min="4" max="4" width="12.7109375" customWidth="1"/>
    <col min="5" max="5" width="14.140625" customWidth="1"/>
    <col min="6" max="6" width="17" customWidth="1"/>
  </cols>
  <sheetData>
    <row r="2" spans="2:6" ht="27" x14ac:dyDescent="0.35">
      <c r="B2" s="44" t="s">
        <v>17</v>
      </c>
      <c r="C2" s="45"/>
      <c r="D2" s="45"/>
      <c r="E2" s="45"/>
      <c r="F2" s="46"/>
    </row>
    <row r="3" spans="2:6" s="13" customFormat="1" ht="30" customHeight="1" x14ac:dyDescent="0.25">
      <c r="B3" s="40" t="s">
        <v>13</v>
      </c>
      <c r="C3" s="41" t="s">
        <v>14</v>
      </c>
      <c r="D3" s="42" t="s">
        <v>9</v>
      </c>
      <c r="E3" s="41" t="s">
        <v>16</v>
      </c>
      <c r="F3" s="43" t="s">
        <v>15</v>
      </c>
    </row>
    <row r="4" spans="2:6" ht="18.75" x14ac:dyDescent="0.3">
      <c r="B4" s="32">
        <v>45170</v>
      </c>
      <c r="C4" s="10">
        <v>45560</v>
      </c>
      <c r="D4" s="1">
        <v>1080</v>
      </c>
      <c r="E4" s="1">
        <f>D4</f>
        <v>1080</v>
      </c>
      <c r="F4" s="34"/>
    </row>
    <row r="5" spans="2:6" ht="18.75" x14ac:dyDescent="0.3">
      <c r="B5" s="32">
        <v>45200</v>
      </c>
      <c r="C5" s="10">
        <v>45225</v>
      </c>
      <c r="D5" s="1">
        <v>1360</v>
      </c>
      <c r="E5" s="1">
        <f>D5+E4-F4</f>
        <v>2440</v>
      </c>
      <c r="F5" s="34"/>
    </row>
    <row r="6" spans="2:6" ht="18.75" x14ac:dyDescent="0.3">
      <c r="B6" s="32">
        <v>45231</v>
      </c>
      <c r="C6" s="10">
        <v>45252</v>
      </c>
      <c r="D6" s="1">
        <v>1360</v>
      </c>
      <c r="E6" s="1">
        <f t="shared" ref="E6:E23" si="0">D6+E5-F5</f>
        <v>3800</v>
      </c>
      <c r="F6" s="34"/>
    </row>
    <row r="7" spans="2:6" ht="18.75" x14ac:dyDescent="0.3">
      <c r="B7" s="32">
        <v>45261</v>
      </c>
      <c r="C7" s="10">
        <v>45284</v>
      </c>
      <c r="D7" s="1">
        <v>960</v>
      </c>
      <c r="E7" s="1">
        <f t="shared" si="0"/>
        <v>4760</v>
      </c>
      <c r="F7" s="34"/>
    </row>
    <row r="8" spans="2:6" ht="18.75" x14ac:dyDescent="0.3">
      <c r="B8" s="32">
        <v>45292</v>
      </c>
      <c r="C8" s="10">
        <v>45311</v>
      </c>
      <c r="D8" s="1">
        <v>1090</v>
      </c>
      <c r="E8" s="1">
        <f t="shared" si="0"/>
        <v>5850</v>
      </c>
      <c r="F8" s="34"/>
    </row>
    <row r="9" spans="2:6" ht="18.75" x14ac:dyDescent="0.3">
      <c r="B9" s="32">
        <v>45323</v>
      </c>
      <c r="C9" s="10">
        <v>45351</v>
      </c>
      <c r="D9" s="1">
        <v>1060</v>
      </c>
      <c r="E9" s="1">
        <f t="shared" si="0"/>
        <v>6910</v>
      </c>
      <c r="F9" s="34"/>
    </row>
    <row r="10" spans="2:6" ht="18.75" x14ac:dyDescent="0.3">
      <c r="B10" s="32">
        <v>45352</v>
      </c>
      <c r="C10" s="10">
        <v>45372</v>
      </c>
      <c r="D10" s="1">
        <v>870</v>
      </c>
      <c r="E10" s="1">
        <f t="shared" si="0"/>
        <v>7780</v>
      </c>
      <c r="F10" s="34"/>
    </row>
    <row r="11" spans="2:6" ht="18.75" x14ac:dyDescent="0.3">
      <c r="B11" s="32">
        <v>45383</v>
      </c>
      <c r="C11" s="10">
        <v>45405</v>
      </c>
      <c r="D11" s="1">
        <v>1240</v>
      </c>
      <c r="E11" s="1">
        <f t="shared" si="0"/>
        <v>9020</v>
      </c>
      <c r="F11" s="34"/>
    </row>
    <row r="12" spans="2:6" ht="18.75" x14ac:dyDescent="0.3">
      <c r="B12" s="32">
        <v>45413</v>
      </c>
      <c r="C12" s="10">
        <v>45441</v>
      </c>
      <c r="D12" s="1">
        <v>1600</v>
      </c>
      <c r="E12" s="1">
        <f t="shared" si="0"/>
        <v>10620</v>
      </c>
      <c r="F12" s="34"/>
    </row>
    <row r="13" spans="2:6" ht="18.75" x14ac:dyDescent="0.3">
      <c r="B13" s="33">
        <v>45444</v>
      </c>
      <c r="C13" s="14">
        <v>45472</v>
      </c>
      <c r="D13" s="3">
        <f>1600+350</f>
        <v>1950</v>
      </c>
      <c r="E13" s="3">
        <f t="shared" si="0"/>
        <v>12570</v>
      </c>
      <c r="F13" s="35">
        <v>12570</v>
      </c>
    </row>
    <row r="14" spans="2:6" ht="18.75" x14ac:dyDescent="0.3">
      <c r="B14" s="32">
        <v>45474</v>
      </c>
      <c r="C14" s="10">
        <v>45516</v>
      </c>
      <c r="D14" s="1">
        <v>800</v>
      </c>
      <c r="E14" s="1">
        <f t="shared" si="0"/>
        <v>800</v>
      </c>
      <c r="F14" s="34"/>
    </row>
    <row r="15" spans="2:6" ht="18.75" x14ac:dyDescent="0.3">
      <c r="B15" s="32">
        <v>45505</v>
      </c>
      <c r="C15" s="10">
        <v>45536</v>
      </c>
      <c r="D15" s="1">
        <v>780</v>
      </c>
      <c r="E15" s="1">
        <f t="shared" si="0"/>
        <v>1580</v>
      </c>
      <c r="F15" s="34"/>
    </row>
    <row r="16" spans="2:6" ht="18.75" x14ac:dyDescent="0.3">
      <c r="B16" s="32">
        <v>45536</v>
      </c>
      <c r="C16" s="10">
        <v>45569</v>
      </c>
      <c r="D16" s="1">
        <v>850</v>
      </c>
      <c r="E16" s="1">
        <f t="shared" si="0"/>
        <v>2430</v>
      </c>
      <c r="F16" s="34"/>
    </row>
    <row r="17" spans="2:6" ht="18.75" x14ac:dyDescent="0.3">
      <c r="B17" s="32">
        <v>45566</v>
      </c>
      <c r="C17" s="10">
        <v>45588</v>
      </c>
      <c r="D17" s="1">
        <v>1080</v>
      </c>
      <c r="E17" s="1">
        <f t="shared" si="0"/>
        <v>3510</v>
      </c>
      <c r="F17" s="34"/>
    </row>
    <row r="18" spans="2:6" ht="18.75" x14ac:dyDescent="0.3">
      <c r="B18" s="32">
        <v>45597</v>
      </c>
      <c r="C18" s="10">
        <v>45625</v>
      </c>
      <c r="D18" s="1">
        <v>1260</v>
      </c>
      <c r="E18" s="1">
        <f t="shared" si="0"/>
        <v>4770</v>
      </c>
      <c r="F18" s="34"/>
    </row>
    <row r="19" spans="2:6" ht="18.75" x14ac:dyDescent="0.3">
      <c r="B19" s="32">
        <v>45627</v>
      </c>
      <c r="C19" s="10">
        <v>45650</v>
      </c>
      <c r="D19" s="1">
        <v>990</v>
      </c>
      <c r="E19" s="1">
        <f t="shared" si="0"/>
        <v>5760</v>
      </c>
      <c r="F19" s="34"/>
    </row>
    <row r="20" spans="2:6" ht="18.75" x14ac:dyDescent="0.3">
      <c r="B20" s="32">
        <v>45658</v>
      </c>
      <c r="C20" s="10">
        <v>45681</v>
      </c>
      <c r="D20" s="1">
        <v>570</v>
      </c>
      <c r="E20" s="1">
        <f t="shared" si="0"/>
        <v>6330</v>
      </c>
      <c r="F20" s="34"/>
    </row>
    <row r="21" spans="2:6" ht="18.75" x14ac:dyDescent="0.3">
      <c r="B21" s="32">
        <v>45689</v>
      </c>
      <c r="C21" s="10">
        <v>45725</v>
      </c>
      <c r="D21" s="1">
        <v>600</v>
      </c>
      <c r="E21" s="1">
        <f t="shared" si="0"/>
        <v>6930</v>
      </c>
      <c r="F21" s="34"/>
    </row>
    <row r="22" spans="2:6" ht="18.75" x14ac:dyDescent="0.3">
      <c r="B22" s="32">
        <v>45717</v>
      </c>
      <c r="C22" s="10">
        <v>45751</v>
      </c>
      <c r="D22" s="1">
        <v>1160</v>
      </c>
      <c r="E22" s="1">
        <f t="shared" si="0"/>
        <v>8090</v>
      </c>
      <c r="F22" s="34"/>
    </row>
    <row r="23" spans="2:6" ht="18.75" x14ac:dyDescent="0.3">
      <c r="B23" s="36">
        <v>45748</v>
      </c>
      <c r="C23" s="37">
        <v>45778</v>
      </c>
      <c r="D23" s="38">
        <v>1340</v>
      </c>
      <c r="E23" s="38">
        <f t="shared" si="0"/>
        <v>9430</v>
      </c>
      <c r="F23" s="39"/>
    </row>
    <row r="24" spans="2:6" ht="18.75" x14ac:dyDescent="0.3">
      <c r="B24" s="32">
        <v>45778</v>
      </c>
      <c r="C24" s="37">
        <v>45807</v>
      </c>
      <c r="D24" s="38">
        <v>1010</v>
      </c>
      <c r="E24" s="38">
        <f t="shared" ref="E24:E28" si="1">D24+E23-F23</f>
        <v>10440</v>
      </c>
      <c r="F24" s="39"/>
    </row>
    <row r="25" spans="2:6" ht="18.75" x14ac:dyDescent="0.3">
      <c r="B25" s="36">
        <v>45809</v>
      </c>
      <c r="C25" s="37">
        <v>45837</v>
      </c>
      <c r="D25" s="38">
        <v>840</v>
      </c>
      <c r="E25" s="38">
        <f t="shared" si="1"/>
        <v>11280</v>
      </c>
      <c r="F25" s="39"/>
    </row>
    <row r="26" spans="2:6" ht="18.75" x14ac:dyDescent="0.3">
      <c r="B26" s="32">
        <v>45839</v>
      </c>
      <c r="C26" s="37">
        <v>45865</v>
      </c>
      <c r="D26" s="38">
        <v>960</v>
      </c>
      <c r="E26" s="38">
        <f t="shared" si="1"/>
        <v>12240</v>
      </c>
      <c r="F26" s="39"/>
    </row>
    <row r="27" spans="2:6" ht="18.75" x14ac:dyDescent="0.3">
      <c r="B27" s="36">
        <v>45870</v>
      </c>
      <c r="C27" s="37">
        <v>45898</v>
      </c>
      <c r="D27" s="38">
        <v>760</v>
      </c>
      <c r="E27" s="38">
        <f t="shared" si="1"/>
        <v>13000</v>
      </c>
      <c r="F27" s="39"/>
    </row>
    <row r="28" spans="2:6" ht="18.75" x14ac:dyDescent="0.3">
      <c r="B28" s="32">
        <v>45901</v>
      </c>
      <c r="C28" s="37">
        <v>45929</v>
      </c>
      <c r="D28" s="38">
        <v>1080</v>
      </c>
      <c r="E28" s="38">
        <f t="shared" si="1"/>
        <v>14080</v>
      </c>
      <c r="F28" s="39"/>
    </row>
    <row r="29" spans="2:6" ht="18.75" x14ac:dyDescent="0.3">
      <c r="B29" s="36">
        <v>45931</v>
      </c>
      <c r="C29" s="37"/>
      <c r="D29" s="38"/>
      <c r="E29" s="38">
        <f t="shared" ref="E29:E35" si="2">D29+E28-F28</f>
        <v>14080</v>
      </c>
      <c r="F29" s="39"/>
    </row>
    <row r="30" spans="2:6" ht="18.75" x14ac:dyDescent="0.3">
      <c r="B30" s="32">
        <v>45962</v>
      </c>
      <c r="C30" s="37"/>
      <c r="D30" s="38"/>
      <c r="E30" s="38">
        <f t="shared" si="2"/>
        <v>14080</v>
      </c>
      <c r="F30" s="39"/>
    </row>
    <row r="31" spans="2:6" ht="18.75" x14ac:dyDescent="0.3">
      <c r="B31" s="36">
        <v>45992</v>
      </c>
      <c r="C31" s="37"/>
      <c r="D31" s="38"/>
      <c r="E31" s="38">
        <f t="shared" si="2"/>
        <v>14080</v>
      </c>
      <c r="F31" s="39"/>
    </row>
    <row r="32" spans="2:6" ht="18.75" x14ac:dyDescent="0.3">
      <c r="B32" s="32">
        <v>46023</v>
      </c>
      <c r="C32" s="37"/>
      <c r="D32" s="38"/>
      <c r="E32" s="38">
        <f t="shared" si="2"/>
        <v>14080</v>
      </c>
      <c r="F32" s="39"/>
    </row>
    <row r="33" spans="2:6" ht="18.75" x14ac:dyDescent="0.3">
      <c r="B33" s="36">
        <v>46054</v>
      </c>
      <c r="C33" s="37"/>
      <c r="D33" s="38"/>
      <c r="E33" s="38">
        <f t="shared" si="2"/>
        <v>14080</v>
      </c>
      <c r="F33" s="39"/>
    </row>
    <row r="34" spans="2:6" ht="18.75" x14ac:dyDescent="0.3">
      <c r="B34" s="32">
        <v>46082</v>
      </c>
      <c r="C34" s="37"/>
      <c r="D34" s="38"/>
      <c r="E34" s="38">
        <f t="shared" si="2"/>
        <v>14080</v>
      </c>
      <c r="F34" s="39"/>
    </row>
    <row r="35" spans="2:6" ht="18.75" x14ac:dyDescent="0.3">
      <c r="B35" s="36">
        <v>46113</v>
      </c>
      <c r="C35" s="37"/>
      <c r="D35" s="38"/>
      <c r="E35" s="38">
        <f t="shared" si="2"/>
        <v>14080</v>
      </c>
      <c r="F35" s="39"/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 kulkarni</cp:lastModifiedBy>
  <cp:lastPrinted>2024-12-03T08:43:34Z</cp:lastPrinted>
  <dcterms:created xsi:type="dcterms:W3CDTF">2023-07-20T18:09:03Z</dcterms:created>
  <dcterms:modified xsi:type="dcterms:W3CDTF">2025-10-06T04:12:21Z</dcterms:modified>
</cp:coreProperties>
</file>